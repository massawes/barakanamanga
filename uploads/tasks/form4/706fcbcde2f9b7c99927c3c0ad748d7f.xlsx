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09\Desktop\Sarah\"/>
    </mc:Choice>
  </mc:AlternateContent>
  <xr:revisionPtr revIDLastSave="0" documentId="13_ncr:1_{DA873743-7179-4992-BC10-7D20BB5EDB8B}" xr6:coauthVersionLast="47" xr6:coauthVersionMax="47" xr10:uidLastSave="{00000000-0000-0000-0000-000000000000}"/>
  <bookViews>
    <workbookView xWindow="12990" yWindow="1770" windowWidth="15765" windowHeight="11430" xr2:uid="{4F303067-B612-41E3-A772-DCEDBAE1E33F}"/>
  </bookViews>
  <sheets>
    <sheet name="Sheet1" sheetId="1" r:id="rId1"/>
    <sheet name="Results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  <c r="C16" i="1"/>
  <c r="I7" i="1"/>
  <c r="I8" i="1"/>
  <c r="I9" i="1"/>
  <c r="I10" i="1"/>
  <c r="I11" i="1"/>
  <c r="I13" i="1"/>
  <c r="I14" i="1"/>
  <c r="I15" i="1"/>
  <c r="I6" i="1"/>
  <c r="H7" i="1"/>
  <c r="H8" i="1"/>
  <c r="H9" i="1"/>
  <c r="H10" i="1"/>
  <c r="H11" i="1"/>
  <c r="H12" i="1"/>
  <c r="I12" i="1" s="1"/>
  <c r="H13" i="1"/>
  <c r="H14" i="1"/>
  <c r="H15" i="1"/>
  <c r="H6" i="1"/>
  <c r="G7" i="1"/>
  <c r="G8" i="1"/>
  <c r="G9" i="1"/>
  <c r="G10" i="1"/>
  <c r="G11" i="1"/>
  <c r="G12" i="1"/>
  <c r="G13" i="1"/>
  <c r="G14" i="1"/>
  <c r="G15" i="1"/>
  <c r="G6" i="1"/>
</calcChain>
</file>

<file path=xl/sharedStrings.xml><?xml version="1.0" encoding="utf-8"?>
<sst xmlns="http://schemas.openxmlformats.org/spreadsheetml/2006/main" count="31" uniqueCount="31">
  <si>
    <t>B</t>
  </si>
  <si>
    <t>C</t>
  </si>
  <si>
    <t>D</t>
  </si>
  <si>
    <t>E</t>
  </si>
  <si>
    <t>F</t>
  </si>
  <si>
    <t>G</t>
  </si>
  <si>
    <t>H</t>
  </si>
  <si>
    <t>I</t>
  </si>
  <si>
    <t>UPENDO SECONDARY SCHOOL</t>
  </si>
  <si>
    <t>FORM TWO ANNUAL EXAMINATION RESULTS 2025</t>
  </si>
  <si>
    <t>S/N</t>
  </si>
  <si>
    <t>STUDENT NAME</t>
  </si>
  <si>
    <t>MATHS</t>
  </si>
  <si>
    <t>ENGLLISH</t>
  </si>
  <si>
    <t>SCIENCE</t>
  </si>
  <si>
    <t>KISWAHILI</t>
  </si>
  <si>
    <t>TOTAL</t>
  </si>
  <si>
    <t>AVERAGE</t>
  </si>
  <si>
    <t>GRADE</t>
  </si>
  <si>
    <t>Anna John</t>
  </si>
  <si>
    <t>Baraka Said</t>
  </si>
  <si>
    <t>Catherine Peter</t>
  </si>
  <si>
    <t>David Michael</t>
  </si>
  <si>
    <t>Elizabeth Joseph</t>
  </si>
  <si>
    <t>Francis William</t>
  </si>
  <si>
    <t>Grace Lucas</t>
  </si>
  <si>
    <t>Hamza Iddi</t>
  </si>
  <si>
    <t>Irene Charles</t>
  </si>
  <si>
    <t>John Peter</t>
  </si>
  <si>
    <t>The lowest score in English</t>
  </si>
  <si>
    <t>The highest score in Mathematics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</si>
</sst>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/>
    <xf numFmtId="0" fontId="0" fillId="0" borderId="0" xfId="0" applyBorder="1"/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Marks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58-4E39-87A6-BC61F70E55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58-4E39-87A6-BC61F70E55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58-4E39-87A6-BC61F70E55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58-4E39-87A6-BC61F70E55B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58-4E39-87A6-BC61F70E55B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58-4E39-87A6-BC61F70E55B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58-4E39-87A6-BC61F70E55B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58-4E39-87A6-BC61F70E55B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58-4E39-87A6-BC61F70E55B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58-4E39-87A6-BC61F70E55B3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Sheet1!$B$6:$B$15</c:f>
              <c:strCache>
                <c:ptCount val="10"/>
                <c:pt idx="0">
                  <c:v>Anna John</c:v>
                </c:pt>
                <c:pt idx="1">
                  <c:v>Baraka Said</c:v>
                </c:pt>
                <c:pt idx="2">
                  <c:v>Catherine Peter</c:v>
                </c:pt>
                <c:pt idx="3">
                  <c:v>David Michael</c:v>
                </c:pt>
                <c:pt idx="4">
                  <c:v>Elizabeth Joseph</c:v>
                </c:pt>
                <c:pt idx="5">
                  <c:v>Francis William</c:v>
                </c:pt>
                <c:pt idx="6">
                  <c:v>Grace Lucas</c:v>
                </c:pt>
                <c:pt idx="7">
                  <c:v>Hamza Iddi</c:v>
                </c:pt>
                <c:pt idx="8">
                  <c:v>Irene Charles</c:v>
                </c:pt>
                <c:pt idx="9">
                  <c:v>John Peter</c:v>
                </c:pt>
              </c:strCache>
            </c:strRef>
          </c:cat>
          <c:val>
            <c:numRef>
              <c:f>Sheet1!$G$6:$G$15</c:f>
              <c:numCache>
                <c:formatCode>General</c:formatCode>
                <c:ptCount val="10"/>
                <c:pt idx="0">
                  <c:v>303</c:v>
                </c:pt>
                <c:pt idx="1">
                  <c:v>265</c:v>
                </c:pt>
                <c:pt idx="2">
                  <c:v>369</c:v>
                </c:pt>
                <c:pt idx="3">
                  <c:v>200</c:v>
                </c:pt>
                <c:pt idx="4">
                  <c:v>315</c:v>
                </c:pt>
                <c:pt idx="5">
                  <c:v>205</c:v>
                </c:pt>
                <c:pt idx="6">
                  <c:v>350</c:v>
                </c:pt>
                <c:pt idx="7">
                  <c:v>255</c:v>
                </c:pt>
                <c:pt idx="8">
                  <c:v>376</c:v>
                </c:pt>
                <c:pt idx="9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558-4E39-87A6-BC61F70E5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4</xdr:row>
      <xdr:rowOff>161925</xdr:rowOff>
    </xdr:from>
    <xdr:to>
      <xdr:col>10</xdr:col>
      <xdr:colOff>323850</xdr:colOff>
      <xdr:row>19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278327-CA0B-4C98-975A-28E502E9A0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CF07-731A-4FC5-B1EC-1B41F619BC3C}">
  <dimension ref="A1:J17"/>
  <sheetViews>
    <sheetView tabSelected="1" workbookViewId="0">
      <selection activeCell="I18" sqref="I18"/>
    </sheetView>
  </sheetViews>
  <sheetFormatPr defaultRowHeight="15" x14ac:dyDescent="0.25"/>
  <cols>
    <col min="1" max="1" width="13.5703125" customWidth="1"/>
    <col min="2" max="2" width="18.140625" customWidth="1"/>
    <col min="6" max="6" width="10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10" ht="21" x14ac:dyDescent="0.35">
      <c r="A2" s="2" t="s">
        <v>8</v>
      </c>
      <c r="B2" s="3"/>
      <c r="C2" s="3"/>
      <c r="D2" s="3"/>
      <c r="E2" s="3"/>
      <c r="F2" s="3"/>
      <c r="G2" s="3"/>
      <c r="H2" s="3"/>
      <c r="I2" s="3"/>
    </row>
    <row r="3" spans="1:10" x14ac:dyDescent="0.25">
      <c r="A3" s="1"/>
      <c r="B3" s="3" t="s">
        <v>9</v>
      </c>
      <c r="C3" s="3"/>
      <c r="D3" s="3"/>
      <c r="E3" s="3"/>
      <c r="F3" s="3"/>
      <c r="G3" s="1"/>
      <c r="H3" s="1"/>
      <c r="I3" s="1"/>
    </row>
    <row r="4" spans="1:10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5"/>
    </row>
    <row r="6" spans="1:10" x14ac:dyDescent="0.25">
      <c r="A6" s="1">
        <v>1</v>
      </c>
      <c r="B6" s="1" t="s">
        <v>19</v>
      </c>
      <c r="C6" s="1">
        <v>85</v>
      </c>
      <c r="D6" s="1">
        <v>78</v>
      </c>
      <c r="E6" s="1">
        <v>52</v>
      </c>
      <c r="F6" s="1">
        <v>88</v>
      </c>
      <c r="G6" s="1">
        <f>SUM(C6:F6)</f>
        <v>303</v>
      </c>
      <c r="H6" s="4">
        <f>AVERAGE(C6:F6)</f>
        <v>75.75</v>
      </c>
      <c r="I6" s="1" t="str">
        <f>IF(H6&gt;=75,"A",IF(H6&gt;=65,"B",IF(H6&gt;=45,"C",IF(H6&gt;=30,"D",IF(H6&lt;30,"F")))))</f>
        <v>A</v>
      </c>
    </row>
    <row r="7" spans="1:10" x14ac:dyDescent="0.25">
      <c r="A7" s="1">
        <v>2</v>
      </c>
      <c r="B7" s="1" t="s">
        <v>20</v>
      </c>
      <c r="C7" s="1">
        <v>65</v>
      </c>
      <c r="D7" s="1">
        <v>70</v>
      </c>
      <c r="E7" s="1">
        <v>58</v>
      </c>
      <c r="F7" s="1">
        <v>72</v>
      </c>
      <c r="G7" s="1">
        <f t="shared" ref="G7:G15" si="0">SUM(C7:F7)</f>
        <v>265</v>
      </c>
      <c r="H7" s="4">
        <f t="shared" ref="H7:H15" si="1">AVERAGE(C7:F7)</f>
        <v>66.25</v>
      </c>
      <c r="I7" s="1" t="str">
        <f t="shared" ref="I7:I15" si="2">IF(H7&gt;=75,"A",IF(H7&gt;=65,"B",IF(H7&gt;=45,"C",IF(H7&gt;=30,"D",IF(H7&lt;30,"F")))))</f>
        <v>B</v>
      </c>
    </row>
    <row r="8" spans="1:10" x14ac:dyDescent="0.25">
      <c r="A8" s="1">
        <v>3</v>
      </c>
      <c r="B8" s="1" t="s">
        <v>21</v>
      </c>
      <c r="C8" s="1">
        <v>94</v>
      </c>
      <c r="D8" s="1">
        <v>88</v>
      </c>
      <c r="E8" s="1">
        <v>91</v>
      </c>
      <c r="F8" s="1">
        <v>96</v>
      </c>
      <c r="G8" s="1">
        <f t="shared" si="0"/>
        <v>369</v>
      </c>
      <c r="H8" s="4">
        <f t="shared" si="1"/>
        <v>92.25</v>
      </c>
      <c r="I8" s="1" t="str">
        <f t="shared" si="2"/>
        <v>A</v>
      </c>
    </row>
    <row r="9" spans="1:10" x14ac:dyDescent="0.25">
      <c r="A9" s="1">
        <v>4</v>
      </c>
      <c r="B9" s="1" t="s">
        <v>22</v>
      </c>
      <c r="C9" s="1">
        <v>45</v>
      </c>
      <c r="D9" s="1">
        <v>52</v>
      </c>
      <c r="E9" s="1">
        <v>48</v>
      </c>
      <c r="F9" s="1">
        <v>55</v>
      </c>
      <c r="G9" s="1">
        <f t="shared" si="0"/>
        <v>200</v>
      </c>
      <c r="H9" s="4">
        <f t="shared" si="1"/>
        <v>50</v>
      </c>
      <c r="I9" s="1" t="str">
        <f t="shared" si="2"/>
        <v>C</v>
      </c>
    </row>
    <row r="10" spans="1:10" x14ac:dyDescent="0.25">
      <c r="A10" s="1">
        <v>5</v>
      </c>
      <c r="B10" s="1" t="s">
        <v>23</v>
      </c>
      <c r="C10" s="1">
        <v>78</v>
      </c>
      <c r="D10" s="1">
        <v>82</v>
      </c>
      <c r="E10" s="1">
        <v>75</v>
      </c>
      <c r="F10" s="1">
        <v>80</v>
      </c>
      <c r="G10" s="1">
        <f t="shared" si="0"/>
        <v>315</v>
      </c>
      <c r="H10" s="4">
        <f t="shared" si="1"/>
        <v>78.75</v>
      </c>
      <c r="I10" s="1" t="str">
        <f t="shared" si="2"/>
        <v>A</v>
      </c>
    </row>
    <row r="11" spans="1:10" x14ac:dyDescent="0.25">
      <c r="A11" s="1">
        <v>6</v>
      </c>
      <c r="B11" s="1" t="s">
        <v>24</v>
      </c>
      <c r="C11" s="1">
        <v>52</v>
      </c>
      <c r="D11" s="1">
        <v>48</v>
      </c>
      <c r="E11" s="1">
        <v>55</v>
      </c>
      <c r="F11" s="1">
        <v>50</v>
      </c>
      <c r="G11" s="1">
        <f t="shared" si="0"/>
        <v>205</v>
      </c>
      <c r="H11" s="4">
        <f t="shared" si="1"/>
        <v>51.25</v>
      </c>
      <c r="I11" s="1" t="str">
        <f t="shared" si="2"/>
        <v>C</v>
      </c>
    </row>
    <row r="12" spans="1:10" x14ac:dyDescent="0.25">
      <c r="A12" s="1">
        <v>7</v>
      </c>
      <c r="B12" s="1" t="s">
        <v>25</v>
      </c>
      <c r="C12" s="1">
        <v>88</v>
      </c>
      <c r="D12" s="1">
        <v>85</v>
      </c>
      <c r="E12" s="1">
        <v>90</v>
      </c>
      <c r="F12" s="1">
        <v>87</v>
      </c>
      <c r="G12" s="1">
        <f t="shared" si="0"/>
        <v>350</v>
      </c>
      <c r="H12" s="4">
        <f t="shared" si="1"/>
        <v>87.5</v>
      </c>
      <c r="I12" s="1" t="str">
        <f t="shared" si="2"/>
        <v>A</v>
      </c>
    </row>
    <row r="13" spans="1:10" x14ac:dyDescent="0.25">
      <c r="A13" s="1">
        <v>8</v>
      </c>
      <c r="B13" s="1" t="s">
        <v>26</v>
      </c>
      <c r="C13" s="1">
        <v>85</v>
      </c>
      <c r="D13" s="1">
        <v>40</v>
      </c>
      <c r="E13" s="1">
        <v>88</v>
      </c>
      <c r="F13" s="1">
        <v>42</v>
      </c>
      <c r="G13" s="1">
        <f t="shared" si="0"/>
        <v>255</v>
      </c>
      <c r="H13" s="4">
        <f t="shared" si="1"/>
        <v>63.75</v>
      </c>
      <c r="I13" s="1" t="str">
        <f t="shared" si="2"/>
        <v>C</v>
      </c>
    </row>
    <row r="14" spans="1:10" x14ac:dyDescent="0.25">
      <c r="A14" s="1">
        <v>9</v>
      </c>
      <c r="B14" s="1" t="s">
        <v>27</v>
      </c>
      <c r="C14" s="1">
        <v>92</v>
      </c>
      <c r="D14" s="1">
        <v>99</v>
      </c>
      <c r="E14" s="1">
        <v>94</v>
      </c>
      <c r="F14" s="1">
        <v>91</v>
      </c>
      <c r="G14" s="1">
        <f t="shared" si="0"/>
        <v>376</v>
      </c>
      <c r="H14" s="4">
        <f t="shared" si="1"/>
        <v>94</v>
      </c>
      <c r="I14" s="1" t="str">
        <f t="shared" si="2"/>
        <v>A</v>
      </c>
    </row>
    <row r="15" spans="1:10" x14ac:dyDescent="0.25">
      <c r="A15" s="1">
        <v>10</v>
      </c>
      <c r="B15" s="1" t="s">
        <v>28</v>
      </c>
      <c r="C15" s="1">
        <v>68</v>
      </c>
      <c r="D15" s="1">
        <v>72</v>
      </c>
      <c r="E15" s="1">
        <v>65</v>
      </c>
      <c r="F15" s="1">
        <v>70</v>
      </c>
      <c r="G15" s="1">
        <f t="shared" si="0"/>
        <v>275</v>
      </c>
      <c r="H15" s="4">
        <f t="shared" si="1"/>
        <v>68.75</v>
      </c>
      <c r="I15" s="1" t="str">
        <f t="shared" si="2"/>
        <v>B</v>
      </c>
    </row>
    <row r="16" spans="1:10" ht="30" x14ac:dyDescent="0.25">
      <c r="A16" s="1"/>
      <c r="B16" s="6" t="s">
        <v>30</v>
      </c>
      <c r="C16" s="1">
        <f>MAX(C6:C15)</f>
        <v>94</v>
      </c>
      <c r="D16" s="1"/>
      <c r="E16" s="1"/>
      <c r="F16" s="1"/>
      <c r="G16" s="1"/>
      <c r="H16" s="1"/>
      <c r="I16" s="1"/>
    </row>
    <row r="17" spans="1:9" ht="30" x14ac:dyDescent="0.25">
      <c r="A17" s="1"/>
      <c r="B17" s="6" t="s">
        <v>29</v>
      </c>
      <c r="C17" s="1">
        <f>MIN(D6:D15)</f>
        <v>40</v>
      </c>
      <c r="D17" s="1"/>
      <c r="E17" s="1"/>
      <c r="F17" s="1"/>
      <c r="G17" s="1"/>
      <c r="H17" s="1"/>
      <c r="I17" s="1"/>
    </row>
  </sheetData>
  <mergeCells count="2">
    <mergeCell ref="B3:F3"/>
    <mergeCell ref="A2:I2"/>
  </mergeCells>
  <dataValidations count="1">
    <dataValidation type="whole" allowBlank="1" showInputMessage="1" showErrorMessage="1" error="&quot;Mark must be between 0 and 100&quot;" sqref="C6:G15" xr:uid="{7C7C8A23-4515-4309-B06C-946C133719C2}">
      <formula1>0</formula1>
      <formula2>100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69A4A-F7C4-4716-BA19-FDF41A37B73C}">
  <dimension ref="A1"/>
  <sheetViews>
    <sheetView workbookViewId="0">
      <selection activeCell="M11" sqref="M1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ResultsChart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PC09</dc:creator>
  <cp:lastModifiedBy>PC09</cp:lastModifiedBy>
  <dcterms:created xsi:type="dcterms:W3CDTF">2026-10-08T18:23:37Z</dcterms:created>
  <dcterms:modified xsi:type="dcterms:W3CDTF">2026-10-08T19:25:25Z</dcterms:modified>
</cp:coreProperties>
</file>