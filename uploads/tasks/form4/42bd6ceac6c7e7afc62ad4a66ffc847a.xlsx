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03\Documents\"/>
    </mc:Choice>
  </mc:AlternateContent>
  <xr:revisionPtr revIDLastSave="0" documentId="13_ncr:1_{37CBE0F0-17F7-453E-8554-9DA75FC5F417}" xr6:coauthVersionLast="47" xr6:coauthVersionMax="47" xr10:uidLastSave="{00000000-0000-0000-0000-000000000000}"/>
  <bookViews>
    <workbookView xWindow="-108" yWindow="-108" windowWidth="23256" windowHeight="13176" activeTab="1" xr2:uid="{EC1304FE-3C15-40FA-9263-B55172ED50F3}"/>
  </bookViews>
  <sheets>
    <sheet name="UpendoResults" sheetId="1" r:id="rId1"/>
    <sheet name="Result 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6" i="1" l="1"/>
  <c r="I16" i="1" s="1"/>
  <c r="H15" i="1"/>
  <c r="H14" i="1"/>
  <c r="H13" i="1"/>
  <c r="H12" i="1"/>
  <c r="I12" i="1" s="1"/>
  <c r="H11" i="1"/>
  <c r="I11" i="1" s="1"/>
  <c r="H9" i="1"/>
  <c r="I9" i="1" s="1"/>
  <c r="H8" i="1"/>
  <c r="I8" i="1" s="1"/>
  <c r="I14" i="1"/>
  <c r="I13" i="1"/>
  <c r="I15" i="1"/>
  <c r="G8" i="1"/>
  <c r="G9" i="1"/>
  <c r="G10" i="1"/>
  <c r="H10" i="1" s="1"/>
  <c r="I10" i="1" s="1"/>
  <c r="G11" i="1"/>
  <c r="G12" i="1"/>
  <c r="G13" i="1"/>
  <c r="G14" i="1"/>
  <c r="G15" i="1"/>
  <c r="G16" i="1"/>
  <c r="G7" i="1"/>
  <c r="H7" i="1" s="1"/>
  <c r="I7" i="1" s="1"/>
</calcChain>
</file>

<file path=xl/sharedStrings.xml><?xml version="1.0" encoding="utf-8"?>
<sst xmlns="http://schemas.openxmlformats.org/spreadsheetml/2006/main" count="30" uniqueCount="30">
  <si>
    <t>S/N</t>
  </si>
  <si>
    <t>STUDENT NAME</t>
  </si>
  <si>
    <t>MATH</t>
  </si>
  <si>
    <t>ENGLISH</t>
  </si>
  <si>
    <t>SCIENCE</t>
  </si>
  <si>
    <t>KISWAHILI</t>
  </si>
  <si>
    <t>TOTAL</t>
  </si>
  <si>
    <t>AVERAGE</t>
  </si>
  <si>
    <t>GRADE</t>
  </si>
  <si>
    <t>FORM TWO ANNUAL EXAMINATION RESULTS 2025</t>
  </si>
  <si>
    <t>UPENDO SECONDARY SCHOOL</t>
  </si>
  <si>
    <t>Anna John</t>
  </si>
  <si>
    <t>Baraka Said</t>
  </si>
  <si>
    <t>Catherine Peter</t>
  </si>
  <si>
    <t>David Michael</t>
  </si>
  <si>
    <t>Elizabeth Joseph</t>
  </si>
  <si>
    <t>Fransis William</t>
  </si>
  <si>
    <t>Grace Lucas</t>
  </si>
  <si>
    <t>Hamza Iddi</t>
  </si>
  <si>
    <t>Irene Charles</t>
  </si>
  <si>
    <t>John Peter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</si>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</sst>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FF00"/>
                </a:solidFill>
              </a:rPr>
              <a:t>Result Chart</a:t>
            </a:r>
          </a:p>
        </c:rich>
      </c:tx>
      <c:layout>
        <c:manualLayout>
          <c:xMode val="edge"/>
          <c:yMode val="edge"/>
          <c:x val="0.4102606766500277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UpendoResults!$G$1</c:f>
              <c:strCache>
                <c:ptCount val="1"/>
                <c:pt idx="0">
                  <c:v>H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35A-48F0-BE81-FD3FC752F3F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35A-48F0-BE81-FD3FC752F3F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35A-48F0-BE81-FD3FC752F3F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35A-48F0-BE81-FD3FC752F3F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935A-48F0-BE81-FD3FC752F3F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935A-48F0-BE81-FD3FC752F3F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935A-48F0-BE81-FD3FC752F3F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935A-48F0-BE81-FD3FC752F3F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935A-48F0-BE81-FD3FC752F3F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935A-48F0-BE81-FD3FC752F3F9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935A-48F0-BE81-FD3FC752F3F9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935A-48F0-BE81-FD3FC752F3F9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935A-48F0-BE81-FD3FC752F3F9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935A-48F0-BE81-FD3FC752F3F9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935A-48F0-BE81-FD3FC752F3F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UpendoResults!$B$2:$B$16</c:f>
              <c:strCache>
                <c:ptCount val="15"/>
                <c:pt idx="4">
                  <c:v>STUDENT NAME</c:v>
                </c:pt>
                <c:pt idx="5">
                  <c:v>Anna John</c:v>
                </c:pt>
                <c:pt idx="6">
                  <c:v>Baraka Said</c:v>
                </c:pt>
                <c:pt idx="7">
                  <c:v>Catherine Peter</c:v>
                </c:pt>
                <c:pt idx="8">
                  <c:v>David Michael</c:v>
                </c:pt>
                <c:pt idx="9">
                  <c:v>Elizabeth Joseph</c:v>
                </c:pt>
                <c:pt idx="10">
                  <c:v>Fransis William</c:v>
                </c:pt>
                <c:pt idx="11">
                  <c:v>Grace Lucas</c:v>
                </c:pt>
                <c:pt idx="12">
                  <c:v>Hamza Iddi</c:v>
                </c:pt>
                <c:pt idx="13">
                  <c:v>Irene Charles</c:v>
                </c:pt>
                <c:pt idx="14">
                  <c:v>John Peter</c:v>
                </c:pt>
              </c:strCache>
            </c:strRef>
          </c:cat>
          <c:val>
            <c:numRef>
              <c:f>UpendoResults!$G$2:$G$16</c:f>
              <c:numCache>
                <c:formatCode>General</c:formatCode>
                <c:ptCount val="15"/>
                <c:pt idx="4">
                  <c:v>0</c:v>
                </c:pt>
                <c:pt idx="5">
                  <c:v>343</c:v>
                </c:pt>
                <c:pt idx="6">
                  <c:v>265</c:v>
                </c:pt>
                <c:pt idx="7">
                  <c:v>369</c:v>
                </c:pt>
                <c:pt idx="8">
                  <c:v>200</c:v>
                </c:pt>
                <c:pt idx="9">
                  <c:v>315</c:v>
                </c:pt>
                <c:pt idx="10">
                  <c:v>205</c:v>
                </c:pt>
                <c:pt idx="11">
                  <c:v>350</c:v>
                </c:pt>
                <c:pt idx="12">
                  <c:v>155</c:v>
                </c:pt>
                <c:pt idx="13">
                  <c:v>366</c:v>
                </c:pt>
                <c:pt idx="14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35A-48F0-BE81-FD3FC752F3F9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1</xdr:row>
      <xdr:rowOff>175260</xdr:rowOff>
    </xdr:from>
    <xdr:to>
      <xdr:col>11</xdr:col>
      <xdr:colOff>377190</xdr:colOff>
      <xdr:row>16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A79714-02D3-4EC9-BE05-29B0F95B9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B5B3-4BAB-4EBF-B369-C1BBCBAA454A}">
  <dimension ref="A1:I16"/>
  <sheetViews>
    <sheetView workbookViewId="0">
      <selection activeCell="K12" sqref="K12"/>
    </sheetView>
  </sheetViews>
  <sheetFormatPr defaultRowHeight="14.4" x14ac:dyDescent="0.3"/>
  <cols>
    <col min="2" max="2" width="14.88671875" customWidth="1"/>
    <col min="6" max="6" width="9.77734375" customWidth="1"/>
  </cols>
  <sheetData>
    <row r="1" spans="1:9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 x14ac:dyDescent="0.3">
      <c r="A2" s="1" t="s">
        <v>10</v>
      </c>
      <c r="B2" s="1"/>
      <c r="C2" s="1"/>
      <c r="D2" s="1"/>
      <c r="E2" s="1"/>
      <c r="F2" s="1"/>
      <c r="G2" s="1"/>
      <c r="H2" s="1"/>
      <c r="I2" s="1"/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 t="s">
        <v>9</v>
      </c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</row>
    <row r="7" spans="1:9" x14ac:dyDescent="0.3">
      <c r="A7" s="3">
        <v>1</v>
      </c>
      <c r="B7" s="3" t="s">
        <v>11</v>
      </c>
      <c r="C7" s="3">
        <v>85</v>
      </c>
      <c r="D7" s="3">
        <v>78</v>
      </c>
      <c r="E7" s="3">
        <v>92</v>
      </c>
      <c r="F7" s="3">
        <v>88</v>
      </c>
      <c r="G7" s="3">
        <f>SUM(C7:F7)</f>
        <v>343</v>
      </c>
      <c r="H7" s="4">
        <f>AVERAGE(G7/4)</f>
        <v>85.75</v>
      </c>
      <c r="I7" s="3" t="str">
        <f>IF(H7&gt;75,"A", IF(H7&gt;65,"B", IF(H7&gt;45,"C", IF(H7&gt;30,"D", IF(H7&lt;30,"F")))))</f>
        <v>A</v>
      </c>
    </row>
    <row r="8" spans="1:9" x14ac:dyDescent="0.3">
      <c r="A8" s="3">
        <v>2</v>
      </c>
      <c r="B8" s="3" t="s">
        <v>12</v>
      </c>
      <c r="C8" s="3">
        <v>65</v>
      </c>
      <c r="D8" s="3">
        <v>70</v>
      </c>
      <c r="E8" s="3">
        <v>58</v>
      </c>
      <c r="F8" s="3">
        <v>72</v>
      </c>
      <c r="G8" s="3">
        <f t="shared" ref="G8:G16" si="0">SUM(C8:F8)</f>
        <v>265</v>
      </c>
      <c r="H8" s="4">
        <f t="shared" ref="H8:H16" si="1">AVERAGE(G8/4)</f>
        <v>66.25</v>
      </c>
      <c r="I8" s="3" t="str">
        <f t="shared" ref="I8:I16" si="2">IF(H8&gt;75,"A", IF(H8&gt;65,"B", IF(H8&gt;45,"C", IF(H8&gt;30,"D", IF(H8&lt;30,"F")))))</f>
        <v>B</v>
      </c>
    </row>
    <row r="9" spans="1:9" x14ac:dyDescent="0.3">
      <c r="A9" s="3">
        <v>3</v>
      </c>
      <c r="B9" s="3" t="s">
        <v>13</v>
      </c>
      <c r="C9" s="3">
        <v>94</v>
      </c>
      <c r="D9" s="3">
        <v>88</v>
      </c>
      <c r="E9" s="3">
        <v>91</v>
      </c>
      <c r="F9" s="3">
        <v>96</v>
      </c>
      <c r="G9" s="3">
        <f t="shared" si="0"/>
        <v>369</v>
      </c>
      <c r="H9" s="4">
        <f t="shared" si="1"/>
        <v>92.25</v>
      </c>
      <c r="I9" s="3" t="str">
        <f t="shared" si="2"/>
        <v>A</v>
      </c>
    </row>
    <row r="10" spans="1:9" x14ac:dyDescent="0.3">
      <c r="A10" s="3">
        <v>4</v>
      </c>
      <c r="B10" s="3" t="s">
        <v>14</v>
      </c>
      <c r="C10" s="3">
        <v>45</v>
      </c>
      <c r="D10" s="3">
        <v>52</v>
      </c>
      <c r="E10" s="3">
        <v>48</v>
      </c>
      <c r="F10" s="3">
        <v>55</v>
      </c>
      <c r="G10" s="3">
        <f t="shared" si="0"/>
        <v>200</v>
      </c>
      <c r="H10" s="4">
        <f t="shared" si="1"/>
        <v>50</v>
      </c>
      <c r="I10" s="3" t="str">
        <f t="shared" si="2"/>
        <v>C</v>
      </c>
    </row>
    <row r="11" spans="1:9" x14ac:dyDescent="0.3">
      <c r="A11" s="3">
        <v>5</v>
      </c>
      <c r="B11" s="3" t="s">
        <v>15</v>
      </c>
      <c r="C11" s="3">
        <v>78</v>
      </c>
      <c r="D11" s="3">
        <v>82</v>
      </c>
      <c r="E11" s="3">
        <v>75</v>
      </c>
      <c r="F11" s="3">
        <v>80</v>
      </c>
      <c r="G11" s="3">
        <f t="shared" si="0"/>
        <v>315</v>
      </c>
      <c r="H11" s="4">
        <f t="shared" si="1"/>
        <v>78.75</v>
      </c>
      <c r="I11" s="3" t="str">
        <f t="shared" si="2"/>
        <v>A</v>
      </c>
    </row>
    <row r="12" spans="1:9" x14ac:dyDescent="0.3">
      <c r="A12" s="3">
        <v>6</v>
      </c>
      <c r="B12" s="3" t="s">
        <v>16</v>
      </c>
      <c r="C12" s="3">
        <v>52</v>
      </c>
      <c r="D12" s="3">
        <v>48</v>
      </c>
      <c r="E12" s="3">
        <v>55</v>
      </c>
      <c r="F12" s="3">
        <v>50</v>
      </c>
      <c r="G12" s="3">
        <f t="shared" si="0"/>
        <v>205</v>
      </c>
      <c r="H12" s="4">
        <f t="shared" si="1"/>
        <v>51.25</v>
      </c>
      <c r="I12" s="3" t="str">
        <f t="shared" si="2"/>
        <v>C</v>
      </c>
    </row>
    <row r="13" spans="1:9" x14ac:dyDescent="0.3">
      <c r="A13" s="3">
        <v>7</v>
      </c>
      <c r="B13" s="3" t="s">
        <v>17</v>
      </c>
      <c r="C13" s="3">
        <v>88</v>
      </c>
      <c r="D13" s="3">
        <v>85</v>
      </c>
      <c r="E13" s="3">
        <v>90</v>
      </c>
      <c r="F13" s="3">
        <v>87</v>
      </c>
      <c r="G13" s="3">
        <f t="shared" si="0"/>
        <v>350</v>
      </c>
      <c r="H13" s="4">
        <f t="shared" si="1"/>
        <v>87.5</v>
      </c>
      <c r="I13" s="3" t="str">
        <f t="shared" si="2"/>
        <v>A</v>
      </c>
    </row>
    <row r="14" spans="1:9" x14ac:dyDescent="0.3">
      <c r="A14" s="3">
        <v>8</v>
      </c>
      <c r="B14" s="3" t="s">
        <v>18</v>
      </c>
      <c r="C14" s="3">
        <v>35</v>
      </c>
      <c r="D14" s="3">
        <v>40</v>
      </c>
      <c r="E14" s="3">
        <v>38</v>
      </c>
      <c r="F14" s="3">
        <v>42</v>
      </c>
      <c r="G14" s="3">
        <f t="shared" si="0"/>
        <v>155</v>
      </c>
      <c r="H14" s="4">
        <f t="shared" si="1"/>
        <v>38.75</v>
      </c>
      <c r="I14" s="3" t="str">
        <f t="shared" si="2"/>
        <v>D</v>
      </c>
    </row>
    <row r="15" spans="1:9" x14ac:dyDescent="0.3">
      <c r="A15" s="3">
        <v>9</v>
      </c>
      <c r="B15" s="3" t="s">
        <v>19</v>
      </c>
      <c r="C15" s="3">
        <v>92</v>
      </c>
      <c r="D15" s="3">
        <v>89</v>
      </c>
      <c r="E15" s="3">
        <v>94</v>
      </c>
      <c r="F15" s="3">
        <v>91</v>
      </c>
      <c r="G15" s="3">
        <f t="shared" si="0"/>
        <v>366</v>
      </c>
      <c r="H15" s="4">
        <f t="shared" si="1"/>
        <v>91.5</v>
      </c>
      <c r="I15" s="3" t="str">
        <f t="shared" si="2"/>
        <v>A</v>
      </c>
    </row>
    <row r="16" spans="1:9" x14ac:dyDescent="0.3">
      <c r="A16" s="3">
        <v>10</v>
      </c>
      <c r="B16" s="3" t="s">
        <v>20</v>
      </c>
      <c r="C16" s="3">
        <v>68</v>
      </c>
      <c r="D16" s="3">
        <v>72</v>
      </c>
      <c r="E16" s="3">
        <v>65</v>
      </c>
      <c r="F16" s="3">
        <v>70</v>
      </c>
      <c r="G16" s="3">
        <f t="shared" si="0"/>
        <v>275</v>
      </c>
      <c r="H16" s="4">
        <f t="shared" si="1"/>
        <v>68.75</v>
      </c>
      <c r="I16" s="3" t="str">
        <f t="shared" si="2"/>
        <v>B</v>
      </c>
    </row>
  </sheetData>
  <mergeCells count="2">
    <mergeCell ref="A4:I5"/>
    <mergeCell ref="A2:I3"/>
  </mergeCells>
  <dataValidations count="1">
    <dataValidation type="whole" errorStyle="warning" allowBlank="1" showInputMessage="1" showErrorMessage="1" errorTitle="ATTENTION" error="Mark must be between 0 and 100" sqref="C6:F16" xr:uid="{4E0AF2FD-FAC3-4337-9E4D-3A3EA330C595}">
      <formula1>0</formula1>
      <formula2>100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7AF7-CAE9-4B85-8A5B-84BDB860D540}">
  <dimension ref="A1"/>
  <sheetViews>
    <sheetView tabSelected="1" workbookViewId="0">
      <selection activeCell="O14" sqref="O1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UpendoResults</vt:lpstr>
      <vt:lpstr>Result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PC03</dc:creator>
  <cp:lastModifiedBy>PC03</cp:lastModifiedBy>
  <dcterms:created xsi:type="dcterms:W3CDTF">2026-10-06T23:30:48Z</dcterms:created>
  <dcterms:modified xsi:type="dcterms:W3CDTF">2026-10-07T00:53:19Z</dcterms:modified>
</cp:coreProperties>
</file>