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nser\Desktop\"/>
    </mc:Choice>
  </mc:AlternateContent>
  <xr:revisionPtr revIDLastSave="0" documentId="13_ncr:1_{E27313CA-00A9-4EEE-9EEF-483AB7CBBFF3}" xr6:coauthVersionLast="47" xr6:coauthVersionMax="47" xr10:uidLastSave="{00000000-0000-0000-0000-000000000000}"/>
  <bookViews>
    <workbookView xWindow="-120" yWindow="-120" windowWidth="20730" windowHeight="11160" activeTab="1" xr2:uid="{0939409D-994F-4963-BE4A-9AC7B4CA3073}"/>
  </bookViews>
  <sheets>
    <sheet name="Upendo Result" sheetId="1" r:id="rId1"/>
    <sheet name="Results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</calcChain>
</file>

<file path=xl/sharedStrings.xml><?xml version="1.0" encoding="utf-8"?>
<sst xmlns="http://schemas.openxmlformats.org/spreadsheetml/2006/main" count="23" uniqueCount="23">
  <si>
    <t>UPENDO SECONDARY SCHOOL</t>
  </si>
  <si>
    <t>FORM TWO ANNUAL EXAMINATION RESULTS 2025</t>
  </si>
  <si>
    <t>S/N</t>
  </si>
  <si>
    <t>STDENT NAME</t>
  </si>
  <si>
    <t>MATHS</t>
  </si>
  <si>
    <t>ENGLISH</t>
  </si>
  <si>
    <t>SCIENCE</t>
  </si>
  <si>
    <t>KISWAHILI</t>
  </si>
  <si>
    <t>TOTAL</t>
  </si>
  <si>
    <t>AVERAGE</t>
  </si>
  <si>
    <t>GRADE</t>
  </si>
  <si>
    <t>Anna John</t>
  </si>
  <si>
    <t>Baraka Said</t>
  </si>
  <si>
    <t>Catherine Peter</t>
  </si>
  <si>
    <t>Davd Miachel</t>
  </si>
  <si>
    <t>Elizerbrth Joseph</t>
  </si>
  <si>
    <t>Francis William</t>
  </si>
  <si>
    <t>Grace Lucas</t>
  </si>
  <si>
    <t>Hamza Idd</t>
  </si>
  <si>
    <t>Irene Charles</t>
  </si>
  <si>
    <t>John Peter</t>
  </si>
  <si>
    <t>MAXMIMUM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</si>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</sst>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MARKS OF STUDENTS.</a:t>
            </a:r>
          </a:p>
        </c:rich>
      </c:tx>
      <c:layout>
        <c:manualLayout>
          <c:xMode val="edge"/>
          <c:yMode val="edge"/>
          <c:x val="0.17920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'Upendo Result'!$G$1:$G$2</c:f>
              <c:strCache>
                <c:ptCount val="2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88D-43F4-92BB-42D5FBE71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88D-43F4-92BB-42D5FBE71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88D-43F4-92BB-42D5FBE71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88D-43F4-92BB-42D5FBE71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88D-43F4-92BB-42D5FBE71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88D-43F4-92BB-42D5FBE713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88D-43F4-92BB-42D5FBE713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88D-43F4-92BB-42D5FBE713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88D-43F4-92BB-42D5FBE713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88D-43F4-92BB-42D5FBE713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88D-43F4-92BB-42D5FBE713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88D-43F4-92BB-42D5FBE7139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88D-43F4-92BB-42D5FBE7139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'Upendo Result'!$B$3:$B$15</c:f>
              <c:strCache>
                <c:ptCount val="11"/>
                <c:pt idx="0">
                  <c:v>STDENT NAME</c:v>
                </c:pt>
                <c:pt idx="1">
                  <c:v>Anna John</c:v>
                </c:pt>
                <c:pt idx="2">
                  <c:v>Baraka Said</c:v>
                </c:pt>
                <c:pt idx="3">
                  <c:v>Catherine Peter</c:v>
                </c:pt>
                <c:pt idx="4">
                  <c:v>Davd Miachel</c:v>
                </c:pt>
                <c:pt idx="5">
                  <c:v>Elizerbrth Joseph</c:v>
                </c:pt>
                <c:pt idx="6">
                  <c:v>Francis William</c:v>
                </c:pt>
                <c:pt idx="7">
                  <c:v>Grace Lucas</c:v>
                </c:pt>
                <c:pt idx="8">
                  <c:v>Hamza Idd</c:v>
                </c:pt>
                <c:pt idx="9">
                  <c:v>Irene Charles</c:v>
                </c:pt>
                <c:pt idx="10">
                  <c:v>John Peter</c:v>
                </c:pt>
              </c:strCache>
            </c:strRef>
          </c:cat>
          <c:val>
            <c:numRef>
              <c:f>'Upendo Result'!$G$3:$G$15</c:f>
              <c:numCache>
                <c:formatCode>General</c:formatCode>
                <c:ptCount val="13"/>
                <c:pt idx="0">
                  <c:v>0</c:v>
                </c:pt>
                <c:pt idx="1">
                  <c:v>343</c:v>
                </c:pt>
                <c:pt idx="2">
                  <c:v>265</c:v>
                </c:pt>
                <c:pt idx="3">
                  <c:v>369</c:v>
                </c:pt>
                <c:pt idx="4">
                  <c:v>200</c:v>
                </c:pt>
                <c:pt idx="5">
                  <c:v>285</c:v>
                </c:pt>
                <c:pt idx="6">
                  <c:v>239</c:v>
                </c:pt>
                <c:pt idx="7">
                  <c:v>313</c:v>
                </c:pt>
                <c:pt idx="8">
                  <c:v>200</c:v>
                </c:pt>
                <c:pt idx="9">
                  <c:v>317</c:v>
                </c:pt>
                <c:pt idx="10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88D-43F4-92BB-42D5FBE7139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Header>&amp;CS2911-0235</c:oddHeader>
      <c:oddFooter>&amp;CS2911-0235</c:oddFooter>
    </c:headerFooter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0</xdr:row>
      <xdr:rowOff>38100</xdr:rowOff>
    </xdr:from>
    <xdr:to>
      <xdr:col>15</xdr:col>
      <xdr:colOff>247649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68B11-E598-A5D1-E0AF-E18B69B9A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CEF2-B7A4-4E84-8298-163C53164D92}">
  <dimension ref="A1:I15"/>
  <sheetViews>
    <sheetView workbookViewId="0">
      <selection activeCell="K5" sqref="K5"/>
    </sheetView>
  </sheetViews>
  <sheetFormatPr defaultRowHeight="15" x14ac:dyDescent="0.25"/>
  <cols>
    <col min="2" max="2" width="18.140625" customWidth="1"/>
    <col min="8" max="8" width="9.140625" style="1"/>
  </cols>
  <sheetData>
    <row r="1" spans="1:9" ht="30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0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4"/>
    </row>
    <row r="3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4" t="s">
        <v>10</v>
      </c>
    </row>
    <row r="4" spans="1:9" x14ac:dyDescent="0.25">
      <c r="A4" s="4">
        <v>1</v>
      </c>
      <c r="B4" s="4" t="s">
        <v>11</v>
      </c>
      <c r="C4" s="6">
        <v>85</v>
      </c>
      <c r="D4" s="6">
        <v>78</v>
      </c>
      <c r="E4" s="6">
        <v>92</v>
      </c>
      <c r="F4" s="6">
        <v>88</v>
      </c>
      <c r="G4" s="4">
        <f>SUM(C4:F4)</f>
        <v>343</v>
      </c>
      <c r="H4" s="5">
        <f>AVERAGE(C4:F4)</f>
        <v>85.75</v>
      </c>
      <c r="I4" s="4" t="str">
        <f>IF(H4&gt;=75,"A",IF(H4&gt;=65,"B",IF(H4&gt;=45,"C",IF(H4&gt;=30,"D",IF(H4&lt;30,"F")))))</f>
        <v>A</v>
      </c>
    </row>
    <row r="5" spans="1:9" x14ac:dyDescent="0.25">
      <c r="A5" s="4">
        <v>2</v>
      </c>
      <c r="B5" s="4" t="s">
        <v>12</v>
      </c>
      <c r="C5" s="6">
        <v>65</v>
      </c>
      <c r="D5" s="6">
        <v>70</v>
      </c>
      <c r="E5" s="6">
        <v>58</v>
      </c>
      <c r="F5" s="6">
        <v>72</v>
      </c>
      <c r="G5" s="4">
        <f t="shared" ref="G5:G13" si="0">SUM(C5:F5)</f>
        <v>265</v>
      </c>
      <c r="H5" s="5">
        <f t="shared" ref="H5:H13" si="1">AVERAGE(C5:F5)</f>
        <v>66.25</v>
      </c>
      <c r="I5" s="4" t="str">
        <f t="shared" ref="I5:I13" si="2">IF(H5&gt;=75,"A",IF(H5&gt;=65,"B",IF(H5&gt;=45,"C",IF(H5&gt;=30,"D",IF(H5&lt;30,"F")))))</f>
        <v>B</v>
      </c>
    </row>
    <row r="6" spans="1:9" x14ac:dyDescent="0.25">
      <c r="A6" s="4">
        <v>3</v>
      </c>
      <c r="B6" s="4" t="s">
        <v>13</v>
      </c>
      <c r="C6" s="6">
        <v>94</v>
      </c>
      <c r="D6" s="6">
        <v>88</v>
      </c>
      <c r="E6" s="6">
        <v>91</v>
      </c>
      <c r="F6" s="6">
        <v>96</v>
      </c>
      <c r="G6" s="4">
        <f t="shared" si="0"/>
        <v>369</v>
      </c>
      <c r="H6" s="5">
        <f t="shared" si="1"/>
        <v>92.25</v>
      </c>
      <c r="I6" s="4" t="str">
        <f t="shared" si="2"/>
        <v>A</v>
      </c>
    </row>
    <row r="7" spans="1:9" x14ac:dyDescent="0.25">
      <c r="A7" s="4">
        <v>4</v>
      </c>
      <c r="B7" s="4" t="s">
        <v>14</v>
      </c>
      <c r="C7" s="6">
        <v>45</v>
      </c>
      <c r="D7" s="6">
        <v>52</v>
      </c>
      <c r="E7" s="6">
        <v>48</v>
      </c>
      <c r="F7" s="6">
        <v>55</v>
      </c>
      <c r="G7" s="4">
        <f t="shared" si="0"/>
        <v>200</v>
      </c>
      <c r="H7" s="5">
        <f t="shared" si="1"/>
        <v>50</v>
      </c>
      <c r="I7" s="4" t="str">
        <f t="shared" si="2"/>
        <v>C</v>
      </c>
    </row>
    <row r="8" spans="1:9" x14ac:dyDescent="0.25">
      <c r="A8" s="4">
        <v>5</v>
      </c>
      <c r="B8" s="4" t="s">
        <v>15</v>
      </c>
      <c r="C8" s="6">
        <v>78</v>
      </c>
      <c r="D8" s="6">
        <v>52</v>
      </c>
      <c r="E8" s="6">
        <v>75</v>
      </c>
      <c r="F8" s="6">
        <v>80</v>
      </c>
      <c r="G8" s="4">
        <f t="shared" si="0"/>
        <v>285</v>
      </c>
      <c r="H8" s="5">
        <f t="shared" si="1"/>
        <v>71.25</v>
      </c>
      <c r="I8" s="4" t="str">
        <f t="shared" si="2"/>
        <v>B</v>
      </c>
    </row>
    <row r="9" spans="1:9" x14ac:dyDescent="0.25">
      <c r="A9" s="4">
        <v>6</v>
      </c>
      <c r="B9" s="4" t="s">
        <v>16</v>
      </c>
      <c r="C9" s="6">
        <v>52</v>
      </c>
      <c r="D9" s="6">
        <v>82</v>
      </c>
      <c r="E9" s="6">
        <v>55</v>
      </c>
      <c r="F9" s="6">
        <v>50</v>
      </c>
      <c r="G9" s="4">
        <f t="shared" si="0"/>
        <v>239</v>
      </c>
      <c r="H9" s="5">
        <f t="shared" si="1"/>
        <v>59.75</v>
      </c>
      <c r="I9" s="4" t="str">
        <f t="shared" si="2"/>
        <v>C</v>
      </c>
    </row>
    <row r="10" spans="1:9" x14ac:dyDescent="0.25">
      <c r="A10" s="4">
        <v>7</v>
      </c>
      <c r="B10" s="4" t="s">
        <v>17</v>
      </c>
      <c r="C10" s="6">
        <v>88</v>
      </c>
      <c r="D10" s="6">
        <v>48</v>
      </c>
      <c r="E10" s="6">
        <v>90</v>
      </c>
      <c r="F10" s="6">
        <v>87</v>
      </c>
      <c r="G10" s="4">
        <f t="shared" si="0"/>
        <v>313</v>
      </c>
      <c r="H10" s="5">
        <f t="shared" si="1"/>
        <v>78.25</v>
      </c>
      <c r="I10" s="4" t="str">
        <f t="shared" si="2"/>
        <v>A</v>
      </c>
    </row>
    <row r="11" spans="1:9" x14ac:dyDescent="0.25">
      <c r="A11" s="4">
        <v>8</v>
      </c>
      <c r="B11" s="4" t="s">
        <v>18</v>
      </c>
      <c r="C11" s="6">
        <v>35</v>
      </c>
      <c r="D11" s="6">
        <v>85</v>
      </c>
      <c r="E11" s="6">
        <v>38</v>
      </c>
      <c r="F11" s="6">
        <v>42</v>
      </c>
      <c r="G11" s="4">
        <f t="shared" si="0"/>
        <v>200</v>
      </c>
      <c r="H11" s="5">
        <f t="shared" si="1"/>
        <v>50</v>
      </c>
      <c r="I11" s="4" t="str">
        <f t="shared" si="2"/>
        <v>C</v>
      </c>
    </row>
    <row r="12" spans="1:9" x14ac:dyDescent="0.25">
      <c r="A12" s="4">
        <v>9</v>
      </c>
      <c r="B12" s="4" t="s">
        <v>19</v>
      </c>
      <c r="C12" s="6">
        <v>92</v>
      </c>
      <c r="D12" s="6">
        <v>40</v>
      </c>
      <c r="E12" s="6">
        <v>94</v>
      </c>
      <c r="F12" s="6">
        <v>91</v>
      </c>
      <c r="G12" s="4">
        <f t="shared" si="0"/>
        <v>317</v>
      </c>
      <c r="H12" s="5">
        <f t="shared" si="1"/>
        <v>79.25</v>
      </c>
      <c r="I12" s="4" t="str">
        <f t="shared" si="2"/>
        <v>A</v>
      </c>
    </row>
    <row r="13" spans="1:9" x14ac:dyDescent="0.25">
      <c r="A13" s="4">
        <v>10</v>
      </c>
      <c r="B13" s="4" t="s">
        <v>20</v>
      </c>
      <c r="C13" s="6">
        <v>68</v>
      </c>
      <c r="D13" s="6">
        <v>89</v>
      </c>
      <c r="E13" s="6">
        <v>65</v>
      </c>
      <c r="F13" s="6">
        <v>70</v>
      </c>
      <c r="G13" s="4">
        <f t="shared" si="0"/>
        <v>292</v>
      </c>
      <c r="H13" s="5">
        <f t="shared" si="1"/>
        <v>73</v>
      </c>
      <c r="I13" s="4" t="str">
        <f t="shared" si="2"/>
        <v>B</v>
      </c>
    </row>
    <row r="14" spans="1:9" x14ac:dyDescent="0.25">
      <c r="A14" s="3" t="s">
        <v>21</v>
      </c>
      <c r="B14" s="3"/>
      <c r="C14" s="4">
        <f>MAX(C4:C13)</f>
        <v>94</v>
      </c>
      <c r="D14" s="4"/>
      <c r="E14" s="4"/>
      <c r="F14" s="4"/>
      <c r="G14" s="4"/>
      <c r="H14" s="5"/>
      <c r="I14" s="4"/>
    </row>
    <row r="15" spans="1:9" x14ac:dyDescent="0.25">
      <c r="A15" s="3" t="s">
        <v>22</v>
      </c>
      <c r="B15" s="3"/>
      <c r="C15" s="4">
        <f>MIN(C4:C14)</f>
        <v>35</v>
      </c>
      <c r="D15" s="4"/>
      <c r="E15" s="4"/>
      <c r="F15" s="4"/>
      <c r="G15" s="4"/>
      <c r="H15" s="5"/>
      <c r="I15" s="4"/>
    </row>
  </sheetData>
  <mergeCells count="4">
    <mergeCell ref="A1:I1"/>
    <mergeCell ref="A2:H2"/>
    <mergeCell ref="A14:B14"/>
    <mergeCell ref="A15:B15"/>
  </mergeCells>
  <dataValidations count="1">
    <dataValidation type="whole" allowBlank="1" showInputMessage="1" showErrorMessage="1" promptTitle="warning message" prompt="Marks must be between o and 100_x000a_" sqref="C4:F13" xr:uid="{C8C5D13F-1251-4676-AC10-338D3B29FD64}">
      <formula1>0</formula1>
      <formula2>100</formula2>
    </dataValidation>
  </dataValidations>
  <pageMargins left="0.7" right="0.7" top="0.75" bottom="0.75" header="0.3" footer="0.3"/>
  <pageSetup paperSize="9" orientation="portrait" r:id="rId1"/>
  <headerFooter>
    <oddHeader xml:space="preserve">&amp;Cs2911-0235
</oddHeader>
    <oddFooter>&amp;Cs29110235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04A2-8BDC-4696-B1A4-F8E2D155AF5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Upendo Result</vt:lpstr>
      <vt:lpstr>ResultsChart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spenser</dc:creator>
  <cp:lastModifiedBy>spenser</cp:lastModifiedBy>
  <cp:lastPrinted>2026-10-07T09:27:28Z</cp:lastPrinted>
  <dcterms:created xsi:type="dcterms:W3CDTF">2026-10-07T08:11:29Z</dcterms:created>
  <dcterms:modified xsi:type="dcterms:W3CDTF">2026-10-07T09:35:41Z</dcterms:modified>
</cp:coreProperties>
</file>